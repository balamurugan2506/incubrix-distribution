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0" autoFilterDateGrouping="1"/>
  </bookViews>
  <sheets>
    <sheet name="0_Start_Here" sheetId="1" state="visible" r:id="rId1"/>
    <sheet name="1_Your_Details" sheetId="2" state="visible" r:id="rId2"/>
    <sheet name="2_Must_haves" sheetId="3" state="visible" r:id="rId3"/>
    <sheet name="3_Levels" sheetId="4" state="visible" r:id="rId4"/>
    <sheet name="4_Integration" sheetId="5" state="visible" r:id="rId5"/>
    <sheet name="5_Metrics" sheetId="6" state="visible" r:id="rId6"/>
    <sheet name="6_Hard_cases" sheetId="7" state="visible" r:id="rId7"/>
    <sheet name="7_Declaration" sheetId="8" state="visible" r:id="rId8"/>
  </sheets>
  <definedNames/>
  <calcPr calcId="124519" fullCalcOnLoad="1" refMode="A1" iterate="0" iterateCount="100" iterateDelta="0.0001"/>
</workbook>
</file>

<file path=xl/styles.xml><?xml version="1.0" encoding="utf-8"?>
<styleSheet xmlns="http://schemas.openxmlformats.org/spreadsheetml/2006/main">
  <numFmts count="0"/>
  <fonts count="10">
    <font>
      <name val="Calibri"/>
      <charset val="1"/>
      <family val="2"/>
      <color theme="1"/>
      <sz val="11"/>
    </font>
    <font>
      <name val="Arial"/>
      <family val="0"/>
      <sz val="10"/>
    </font>
    <font>
      <name val="Arial"/>
      <family val="0"/>
      <sz val="10"/>
    </font>
    <font>
      <name val="Arial"/>
      <family val="0"/>
      <sz val="10"/>
    </font>
    <font>
      <name val="Arial"/>
      <charset val="1"/>
      <family val="0"/>
      <b val="1"/>
      <color rgb="FFFFFFFF"/>
      <sz val="13"/>
    </font>
    <font>
      <name val="Arial"/>
      <charset val="1"/>
      <family val="0"/>
      <color rgb="FFFFFFFF"/>
      <sz val="10"/>
    </font>
    <font>
      <name val="Arial"/>
      <charset val="1"/>
      <family val="0"/>
      <b val="1"/>
      <color rgb="FFFFFFFF"/>
      <sz val="10"/>
    </font>
    <font>
      <name val="Arial"/>
      <charset val="1"/>
      <family val="0"/>
      <color rgb="FF14212B"/>
      <sz val="10"/>
    </font>
    <font>
      <name val="Arial"/>
      <charset val="1"/>
      <family val="0"/>
      <b val="1"/>
      <color rgb="FF14212B"/>
      <sz val="10"/>
    </font>
    <font>
      <name val="Arial"/>
      <charset val="1"/>
      <family val="0"/>
      <i val="1"/>
      <color rgb="FF5B6B78"/>
      <sz val="10"/>
    </font>
  </fonts>
  <fills count="8">
    <fill>
      <patternFill/>
    </fill>
    <fill>
      <patternFill patternType="gray125"/>
    </fill>
    <fill>
      <patternFill patternType="solid">
        <fgColor rgb="FF0B1B2B"/>
        <bgColor rgb="FF14212B"/>
      </patternFill>
    </fill>
    <fill>
      <patternFill patternType="solid">
        <fgColor rgb="FF008F8A"/>
        <bgColor rgb="FF008080"/>
      </patternFill>
    </fill>
    <fill>
      <patternFill patternType="solid">
        <fgColor rgb="FFF3F5F7"/>
        <bgColor rgb="FFE7F5F3"/>
      </patternFill>
    </fill>
    <fill>
      <patternFill patternType="solid">
        <fgColor rgb="FF12324D"/>
        <bgColor rgb="FF14212B"/>
      </patternFill>
    </fill>
    <fill>
      <patternFill patternType="solid">
        <fgColor rgb="FFE7F5F3"/>
        <bgColor rgb="FFF3F5F7"/>
      </patternFill>
    </fill>
    <fill>
      <patternFill patternType="solid">
        <fgColor rgb="FFFFF4C7"/>
        <bgColor rgb="FFF3F5F7"/>
      </patternFill>
    </fill>
  </fills>
  <borders count="7">
    <border>
      <left/>
      <right/>
      <top/>
      <bottom/>
      <diagonal/>
    </border>
    <border>
      <left style="thin">
        <color rgb="FFD5DDE3"/>
      </left>
      <right/>
      <top style="thin">
        <color rgb="FFD5DDE3"/>
      </top>
      <bottom style="thin">
        <color rgb="FFD5DDE3"/>
      </bottom>
      <diagonal/>
    </border>
    <border>
      <left style="thin">
        <color rgb="FFD5DDE3"/>
      </left>
      <right style="thin">
        <color rgb="FFD5DDE3"/>
      </right>
      <top style="thin">
        <color rgb="FFD5DDE3"/>
      </top>
      <bottom style="thin">
        <color rgb="FFD5DDE3"/>
      </bottom>
      <diagonal/>
    </border>
    <border>
      <left/>
      <right/>
      <top style="thin">
        <color rgb="FFD5DDE3"/>
      </top>
      <bottom/>
      <diagonal/>
    </border>
    <border>
      <left/>
      <right/>
      <top style="thin">
        <color rgb="FFD5DDE3"/>
      </top>
      <bottom style="thin">
        <color rgb="FFD5DDE3"/>
      </bottom>
      <diagonal/>
    </border>
    <border>
      <left/>
      <right style="thin">
        <color rgb="FFD5DDE3"/>
      </right>
      <top style="thin">
        <color rgb="FFD5DDE3"/>
      </top>
      <bottom/>
      <diagonal/>
    </border>
    <border>
      <left/>
      <right style="thin">
        <color rgb="FFD5DDE3"/>
      </right>
      <top style="thin">
        <color rgb="FFD5DDE3"/>
      </top>
      <bottom style="thin">
        <color rgb="FFD5DDE3"/>
      </bottom>
      <diagonal/>
    </border>
  </borders>
  <cellStyleXfs count="6">
    <xf numFmtId="0" fontId="0" fillId="0" borderId="0" applyAlignment="1">
      <alignment horizontal="general" vertical="bottom"/>
    </xf>
    <xf numFmtId="43" fontId="3" fillId="0" borderId="0"/>
    <xf numFmtId="41" fontId="3" fillId="0" borderId="0"/>
    <xf numFmtId="44" fontId="3" fillId="0" borderId="0"/>
    <xf numFmtId="42" fontId="3" fillId="0" borderId="0"/>
    <xf numFmtId="9" fontId="3" fillId="0" borderId="0"/>
  </cellStyleXfs>
  <cellXfs count="27">
    <xf numFmtId="0" fontId="0" fillId="0" borderId="0" applyAlignment="1" pivotButton="0" quotePrefix="0" xfId="0">
      <alignment horizontal="general" vertical="bottom"/>
    </xf>
    <xf numFmtId="0" fontId="4" fillId="2" borderId="1" applyAlignment="1" pivotButton="0" quotePrefix="0" xfId="0">
      <alignment horizontal="general" vertical="top" wrapText="1"/>
    </xf>
    <xf numFmtId="0" fontId="5" fillId="3" borderId="1" applyAlignment="1" pivotButton="0" quotePrefix="0" xfId="0">
      <alignment horizontal="general" vertical="top" wrapText="1"/>
    </xf>
    <xf numFmtId="0" fontId="6" fillId="3" borderId="2" applyAlignment="1" pivotButton="0" quotePrefix="0" xfId="0">
      <alignment horizontal="general" vertical="top" wrapText="1"/>
    </xf>
    <xf numFmtId="0" fontId="7" fillId="0" borderId="2" applyAlignment="1" pivotButton="0" quotePrefix="0" xfId="0">
      <alignment horizontal="general" vertical="top" wrapText="1"/>
    </xf>
    <xf numFmtId="0" fontId="8" fillId="4" borderId="2" applyAlignment="1" pivotButton="0" quotePrefix="0" xfId="0">
      <alignment horizontal="general" vertical="top" wrapText="1"/>
    </xf>
    <xf numFmtId="0" fontId="6" fillId="5" borderId="2" applyAlignment="1" pivotButton="0" quotePrefix="0" xfId="0">
      <alignment horizontal="general" vertical="top" wrapText="1"/>
    </xf>
    <xf numFmtId="0" fontId="7" fillId="5" borderId="2" applyAlignment="1" pivotButton="0" quotePrefix="0" xfId="0">
      <alignment horizontal="general" vertical="top" wrapText="1"/>
    </xf>
    <xf numFmtId="0" fontId="8" fillId="6" borderId="2" applyAlignment="1" pivotButton="0" quotePrefix="0" xfId="0">
      <alignment horizontal="general" vertical="top" wrapText="1"/>
    </xf>
    <xf numFmtId="0" fontId="7" fillId="7" borderId="1" applyAlignment="1" pivotButton="0" quotePrefix="0" xfId="0">
      <alignment horizontal="general" vertical="top" wrapText="1"/>
    </xf>
    <xf numFmtId="0" fontId="7" fillId="7" borderId="2" applyAlignment="1" pivotButton="0" quotePrefix="0" xfId="0">
      <alignment horizontal="general" vertical="top" wrapText="1"/>
    </xf>
    <xf numFmtId="0" fontId="9" fillId="4" borderId="2" applyAlignment="1" pivotButton="0" quotePrefix="0" xfId="0">
      <alignment horizontal="general" vertical="top" wrapText="1"/>
    </xf>
    <xf numFmtId="0" fontId="0" fillId="0" borderId="0" applyAlignment="1" pivotButton="0" quotePrefix="0" xfId="0">
      <alignment horizontal="general" vertical="bottom"/>
    </xf>
    <xf numFmtId="0" fontId="0" fillId="0" borderId="0" pivotButton="0" quotePrefix="0" xfId="0"/>
    <xf numFmtId="0" fontId="4" fillId="2" borderId="1" applyAlignment="1" pivotButton="0" quotePrefix="0" xfId="0">
      <alignment horizontal="general" vertical="top" wrapText="1"/>
    </xf>
    <xf numFmtId="0" fontId="0" fillId="0" borderId="4" pivotButton="0" quotePrefix="0" xfId="0"/>
    <xf numFmtId="0" fontId="5" fillId="3" borderId="1" applyAlignment="1" pivotButton="0" quotePrefix="0" xfId="0">
      <alignment horizontal="general" vertical="top" wrapText="1"/>
    </xf>
    <xf numFmtId="0" fontId="6" fillId="3" borderId="2" applyAlignment="1" pivotButton="0" quotePrefix="0" xfId="0">
      <alignment horizontal="general" vertical="top" wrapText="1"/>
    </xf>
    <xf numFmtId="0" fontId="7" fillId="0" borderId="2" applyAlignment="1" pivotButton="0" quotePrefix="0" xfId="0">
      <alignment horizontal="general" vertical="top" wrapText="1"/>
    </xf>
    <xf numFmtId="0" fontId="8" fillId="4" borderId="2" applyAlignment="1" pivotButton="0" quotePrefix="0" xfId="0">
      <alignment horizontal="general" vertical="top" wrapText="1"/>
    </xf>
    <xf numFmtId="0" fontId="6" fillId="5" borderId="2" applyAlignment="1" pivotButton="0" quotePrefix="0" xfId="0">
      <alignment horizontal="general" vertical="top" wrapText="1"/>
    </xf>
    <xf numFmtId="0" fontId="7" fillId="5" borderId="2" applyAlignment="1" pivotButton="0" quotePrefix="0" xfId="0">
      <alignment horizontal="general" vertical="top" wrapText="1"/>
    </xf>
    <xf numFmtId="0" fontId="8" fillId="6" borderId="2" applyAlignment="1" pivotButton="0" quotePrefix="0" xfId="0">
      <alignment horizontal="general" vertical="top" wrapText="1"/>
    </xf>
    <xf numFmtId="0" fontId="7" fillId="7" borderId="1" applyAlignment="1" pivotButton="0" quotePrefix="0" xfId="0">
      <alignment horizontal="general" vertical="top" wrapText="1"/>
    </xf>
    <xf numFmtId="0" fontId="7" fillId="7" borderId="2" applyAlignment="1" pivotButton="0" quotePrefix="0" xfId="0">
      <alignment horizontal="general" vertical="top" wrapText="1"/>
    </xf>
    <xf numFmtId="0" fontId="9" fillId="4" borderId="2" applyAlignment="1" pivotButton="0" quotePrefix="0" xfId="0">
      <alignment horizontal="general" vertical="top" wrapText="1"/>
    </xf>
    <xf numFmtId="0" fontId="0" fillId="0" borderId="6" pivotButton="0" quotePrefix="0" xfId="0"/>
  </cellXfs>
  <cellStyles count="6">
    <cellStyle name="Normal" xfId="0" builtinId="0"/>
    <cellStyle name="Comma" xfId="1" builtinId="3"/>
    <cellStyle name="Comma [0]" xfId="2" builtinId="6"/>
    <cellStyle name="Currency" xfId="3" builtinId="4"/>
    <cellStyle name="Currency [0]" xfId="4" builtinId="7"/>
    <cellStyle name="Percent" xfId="5"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F8A"/>
      <rgbColor rgb="FFC0C0C0"/>
      <rgbColor rgb="FF808080"/>
      <rgbColor rgb="FF9999FF"/>
      <rgbColor rgb="FF993366"/>
      <rgbColor rgb="FFFFF4C7"/>
      <rgbColor rgb="FFE7F5F3"/>
      <rgbColor rgb="FF660066"/>
      <rgbColor rgb="FFFF8080"/>
      <rgbColor rgb="FF0066CC"/>
      <rgbColor rgb="FFD5DDE3"/>
      <rgbColor rgb="FF000080"/>
      <rgbColor rgb="FFFF00FF"/>
      <rgbColor rgb="FFFFFF00"/>
      <rgbColor rgb="FF00FFFF"/>
      <rgbColor rgb="FF800080"/>
      <rgbColor rgb="FF800000"/>
      <rgbColor rgb="FF008080"/>
      <rgbColor rgb="FF0000FF"/>
      <rgbColor rgb="FF00CCFF"/>
      <rgbColor rgb="FFF3F5F7"/>
      <rgbColor rgb="FFCCFFCC"/>
      <rgbColor rgb="FFFFFF99"/>
      <rgbColor rgb="FF99CCFF"/>
      <rgbColor rgb="FFFF99CC"/>
      <rgbColor rgb="FFCC99FF"/>
      <rgbColor rgb="FFFFCC99"/>
      <rgbColor rgb="FF3366FF"/>
      <rgbColor rgb="FF33CCCC"/>
      <rgbColor rgb="FF99CC00"/>
      <rgbColor rgb="FFFFCC00"/>
      <rgbColor rgb="FFFF9900"/>
      <rgbColor rgb="FFFF6600"/>
      <rgbColor rgb="FF5B6B78"/>
      <rgbColor rgb="FF969696"/>
      <rgbColor rgb="FF12324D"/>
      <rgbColor rgb="FF339966"/>
      <rgbColor rgb="FF0B1B2B"/>
      <rgbColor rgb="FF333300"/>
      <rgbColor rgb="FF993300"/>
      <rgbColor rgb="FF993366"/>
      <rgbColor rgb="FF333399"/>
      <rgbColor rgb="FF14212B"/>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styles" Target="styles.xml" Id="rId9" /><Relationship Type="http://schemas.openxmlformats.org/officeDocument/2006/relationships/theme" Target="theme/theme1.xml" Id="rId10"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sheetPr filterMode="0">
    <outlinePr summaryBelow="1" summaryRight="1"/>
    <pageSetUpPr fitToPage="0"/>
  </sheetPr>
  <dimension ref="A1:C22"/>
  <sheetViews>
    <sheetView showFormulas="0" showGridLines="1" showRowColHeaders="1" showZeros="1" rightToLeft="0" tabSelected="1"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outlineLevelCol="0"/>
  <cols>
    <col width="6" customWidth="1" style="12" min="1" max="1"/>
    <col width="96" customWidth="1" style="12" min="2" max="2"/>
    <col width="16" customWidth="1" style="12" min="3" max="3"/>
  </cols>
  <sheetData>
    <row r="1" ht="24" customHeight="1" s="13">
      <c r="A1" s="14" t="inlineStr">
        <is>
          <t>IncuBrix Engineering Assessment 4 | Distribution: Long-Tail Destination Network | Submission Form</t>
        </is>
      </c>
      <c r="B1" s="15" t="n"/>
      <c r="C1" s="15" t="n"/>
    </row>
    <row r="2" ht="31.5" customHeight="1" s="13">
      <c r="A2" s="16" t="inlineStr">
        <is>
          <t>This form is how you show us what you built. Fill it as you work. We verify every claim, so be precise.</t>
        </is>
      </c>
      <c r="B2" s="15" t="n"/>
      <c r="C2" s="15" t="n"/>
    </row>
    <row r="4" ht="19.5" customHeight="1" s="13">
      <c r="A4" s="17" t="n">
        <v>1</v>
      </c>
      <c r="B4" s="18" t="inlineStr">
        <is>
          <t>Read the assessment brief (PDF) first.</t>
        </is>
      </c>
    </row>
    <row r="5" ht="19.5" customHeight="1" s="13">
      <c r="A5" s="17" t="n">
        <v>2</v>
      </c>
      <c r="B5" s="18" t="inlineStr">
        <is>
          <t>1_Your_Details: your contact details and all links.</t>
        </is>
      </c>
    </row>
    <row r="6" ht="19.5" customHeight="1" s="13">
      <c r="A6" s="17" t="n">
        <v>3</v>
      </c>
      <c r="B6" s="18" t="inlineStr">
        <is>
          <t>2_Must_haves: mark each must-have Yes or No with evidence. Every one must pass to be selected.</t>
        </is>
      </c>
    </row>
    <row r="7" ht="19.5" customHeight="1" s="13">
      <c r="A7" s="17" t="n">
        <v>4</v>
      </c>
      <c r="B7" s="18" t="inlineStr">
        <is>
          <t>3_Levels: mark each item Yes / Partial / No with evidence. The level you reached is calculated for you.</t>
        </is>
      </c>
    </row>
    <row r="8" ht="19.5" customHeight="1" s="13">
      <c r="A8" s="17" t="n">
        <v>5</v>
      </c>
      <c r="B8" s="18" t="inlineStr">
        <is>
          <t>4_Integration: mark each Integration Standard point with evidence.</t>
        </is>
      </c>
    </row>
    <row r="9" ht="19.5" customHeight="1" s="13">
      <c r="A9" s="17" t="n">
        <v>6</v>
      </c>
      <c r="B9" s="18" t="inlineStr">
        <is>
          <t>5_Metrics: enter your measured numbers.  6_Hard_cases: say how your system handles each situation.</t>
        </is>
      </c>
    </row>
    <row r="10" ht="19.5" customHeight="1" s="13">
      <c r="A10" s="17" t="n">
        <v>7</v>
      </c>
      <c r="B10" s="18" t="inlineStr">
        <is>
          <t>7_Declaration: answer every statement and sign.</t>
        </is>
      </c>
    </row>
    <row r="11" ht="19.5" customHeight="1" s="13">
      <c r="A11" s="17" t="n">
        <v>8</v>
      </c>
      <c r="B11" s="18" t="inlineStr">
        <is>
          <t>Save as Assessment4_YourName.xlsx and attach it to your reply to the invitation email before the deadline.</t>
        </is>
      </c>
    </row>
    <row r="13" ht="15" customHeight="1" s="13">
      <c r="B13" s="19" t="inlineStr">
        <is>
          <t>Colour key: YELLOW = you fill in.  GREEN = calculated automatically.  GREY = instructions or example.</t>
        </is>
      </c>
    </row>
    <row r="15" ht="15" customHeight="1" s="13">
      <c r="B15" s="20" t="inlineStr">
        <is>
          <t>Your self-check (updates as you fill the form)</t>
        </is>
      </c>
      <c r="C15" s="21" t="n"/>
    </row>
    <row r="16" ht="15" customHeight="1" s="13">
      <c r="B16" s="19" t="inlineStr">
        <is>
          <t>Must-haves marked Yes</t>
        </is>
      </c>
      <c r="C16" s="22">
        <f>COUNTIF(2_Must_haves!C6:C14,"Yes")&amp;" of 9"</f>
        <v/>
      </c>
    </row>
    <row r="17" ht="15" customHeight="1" s="13">
      <c r="B17" s="19" t="inlineStr">
        <is>
          <t>Level reached</t>
        </is>
      </c>
      <c r="C17" s="22">
        <f>3_Levels!C18</f>
        <v/>
      </c>
    </row>
    <row r="18" ht="15" customHeight="1" s="13">
      <c r="B18" s="19" t="inlineStr">
        <is>
          <t>Level marks claimed (40)</t>
        </is>
      </c>
      <c r="C18" s="22">
        <f>3_Levels!C19</f>
        <v/>
      </c>
    </row>
    <row r="19" ht="15" customHeight="1" s="13">
      <c r="B19" s="19" t="inlineStr">
        <is>
          <t>Integration marks claimed (20)</t>
        </is>
      </c>
      <c r="C19" s="22">
        <f>4_Integration!C15</f>
        <v/>
      </c>
    </row>
    <row r="20" ht="15" customHeight="1" s="13">
      <c r="B20" s="19" t="inlineStr">
        <is>
          <t>Self-assessed marks before our checks (60)</t>
        </is>
      </c>
      <c r="C20" s="22">
        <f>3_Levels!C19+4_Integration!C15</f>
        <v/>
      </c>
    </row>
    <row r="22" ht="43.5" customHeight="1" s="13">
      <c r="B22" s="23" t="inlineStr">
        <is>
          <t>We then verify your claims and add up to 20 marks for 5 hidden tests (screening total 80). Candidates with all must-haves verified and 60+ in screening are invited to a live session worth 20 marks. A claim without evidence scores 0; a false claim disqualifies the submission.</t>
        </is>
      </c>
      <c r="C22" s="15" t="n"/>
    </row>
  </sheetData>
  <mergeCells count="3">
    <mergeCell ref="A1:C1"/>
    <mergeCell ref="B22:C22"/>
    <mergeCell ref="A2:C2"/>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2.xml><?xml version="1.0" encoding="utf-8"?>
<worksheet xmlns="http://schemas.openxmlformats.org/spreadsheetml/2006/main">
  <sheetPr filterMode="0">
    <outlinePr summaryBelow="1" summaryRight="1"/>
    <pageSetUpPr fitToPage="0"/>
  </sheetPr>
  <dimension ref="A1:B18"/>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outlineLevelCol="0"/>
  <cols>
    <col width="34" customWidth="1" style="12" min="1" max="1"/>
    <col width="70" customWidth="1" style="12" min="2" max="2"/>
  </cols>
  <sheetData>
    <row r="1" ht="24" customHeight="1" s="13">
      <c r="A1" s="14" t="inlineStr">
        <is>
          <t>IncuBrix Assessment 4 | Submission Form | Distribution: Long-Tail Destination Network</t>
        </is>
      </c>
      <c r="B1" s="15" t="n"/>
    </row>
    <row r="2" ht="31.5" customHeight="1" s="13">
      <c r="A2" s="16" t="inlineStr">
        <is>
          <t>Fill every YELLOW cell. Put links to evidence (repo path, output file, log, demo-video timestamp or URL) next to every claim. Save as Assessment4_&lt;YourName&gt;.xlsx and attach it to your reply email.</t>
        </is>
      </c>
      <c r="B2" s="15" t="n"/>
    </row>
    <row r="4" ht="19.5" customHeight="1" s="13">
      <c r="A4" s="19" t="inlineStr">
        <is>
          <t>Full name</t>
        </is>
      </c>
      <c r="B4" s="24" t="inlineStr">
        <is>
          <t>Bala Murugan</t>
        </is>
      </c>
    </row>
    <row r="5" ht="19.5" customHeight="1" s="13">
      <c r="A5" s="19" t="inlineStr">
        <is>
          <t>Email</t>
        </is>
      </c>
      <c r="B5" s="24" t="inlineStr">
        <is>
          <t>balabala050314@gmail.com</t>
        </is>
      </c>
    </row>
    <row r="6" ht="19.5" customHeight="1" s="13">
      <c r="A6" s="19" t="inlineStr">
        <is>
          <t>Phone</t>
        </is>
      </c>
      <c r="B6" s="24" t="inlineStr">
        <is>
          <t>+91 9876543210</t>
        </is>
      </c>
    </row>
    <row r="7" ht="19.5" customHeight="1" s="13">
      <c r="A7" s="19" t="inlineStr">
        <is>
          <t>College and degree</t>
        </is>
      </c>
      <c r="B7" s="24" t="inlineStr">
        <is>
          <t>B.E. Computer Science and Engineering</t>
        </is>
      </c>
    </row>
    <row r="8" ht="19.5" customHeight="1" s="13">
      <c r="A8" s="19" t="inlineStr">
        <is>
          <t>Graduation year</t>
        </is>
      </c>
      <c r="B8" s="24" t="n">
        <v>2027</v>
      </c>
    </row>
    <row r="9" ht="19.5" customHeight="1" s="13">
      <c r="A9" s="19" t="inlineStr">
        <is>
          <t>Live demo URL</t>
        </is>
      </c>
      <c r="B9" s="24" t="inlineStr">
        <is>
          <t>http://localhost:8000 (or your hosted demo URL)</t>
        </is>
      </c>
    </row>
    <row r="10" ht="19.5" customHeight="1" s="13">
      <c r="A10" s="19" t="inlineStr">
        <is>
          <t>Live demo access token or login (if protected)</t>
        </is>
      </c>
      <c r="B10" s="24" t="inlineStr">
        <is>
          <t>None / Rate limited public access</t>
        </is>
      </c>
    </row>
    <row r="11" ht="19.5" customHeight="1" s="13">
      <c r="A11" s="19" t="inlineStr">
        <is>
          <t>Cold-start wait time (if any)</t>
        </is>
      </c>
      <c r="B11" s="24" t="inlineStr">
        <is>
          <t>&lt; 3 seconds</t>
        </is>
      </c>
    </row>
    <row r="12" ht="19.5" customHeight="1" s="13">
      <c r="A12" s="19" t="inlineStr">
        <is>
          <t>Repository URL (private, reviewer invited)</t>
        </is>
      </c>
      <c r="B12" s="24" t="inlineStr">
        <is>
          <t>https://github.com/BalaMurugan/incubrix-distribution (private, admin@incubrix.com invited)</t>
        </is>
      </c>
    </row>
    <row r="13" ht="19.5" customHeight="1" s="13">
      <c r="A13" s="19" t="inlineStr">
        <is>
          <t>Demo video URL (max 8 min, unedited)</t>
        </is>
      </c>
      <c r="B13" s="24" t="inlineStr">
        <is>
          <t>https://youtu.be/your_demo_video_id (or your unedited video link)</t>
        </is>
      </c>
    </row>
    <row r="14" ht="19.5" customHeight="1" s="13">
      <c r="A14" s="19" t="inlineStr">
        <is>
          <t>REPORT.md link</t>
        </is>
      </c>
      <c r="B14" s="24" t="inlineStr">
        <is>
          <t>REPORT.md</t>
        </is>
      </c>
    </row>
    <row r="15" ht="19.5" customHeight="1" s="13">
      <c r="A15" s="19" t="inlineStr">
        <is>
          <t>Compute used (laptop / cloud / GPU, with specs)</t>
        </is>
      </c>
      <c r="B15" s="24" t="inlineStr">
        <is>
          <t>Local development laptop (Windows 11 x64, 16GB RAM, Python 3.12, Docker Desktop)</t>
        </is>
      </c>
    </row>
    <row r="16" ht="19.5" customHeight="1" s="13">
      <c r="A16" s="19" t="inlineStr">
        <is>
          <t>Paid services used and total cost</t>
        </is>
      </c>
      <c r="B16" s="24" t="inlineStr">
        <is>
          <t>$0.00 (Zero paid services required; fully open-source &amp; standalone local simulation)</t>
        </is>
      </c>
    </row>
    <row r="17" ht="19.5" customHeight="1" s="13">
      <c r="A17" s="19" t="inlineStr">
        <is>
          <t>AI coding tools used (details in AI_USE.md)</t>
        </is>
      </c>
      <c r="B17" s="24" t="inlineStr">
        <is>
          <t>Google Antigravity IDE (Gemini 3.8 Flash) - fully documented in AI_USE.md</t>
        </is>
      </c>
    </row>
    <row r="18" ht="19.5" customHeight="1" s="13">
      <c r="A18" s="19" t="inlineStr">
        <is>
          <t>Approximate hours spent</t>
        </is>
      </c>
      <c r="B18" s="24" t="inlineStr">
        <is>
          <t>35 hours</t>
        </is>
      </c>
    </row>
  </sheetData>
  <mergeCells count="2">
    <mergeCell ref="A2:B2"/>
    <mergeCell ref="A1:B1"/>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3.xml><?xml version="1.0" encoding="utf-8"?>
<worksheet xmlns="http://schemas.openxmlformats.org/spreadsheetml/2006/main">
  <sheetPr filterMode="0">
    <outlinePr summaryBelow="1" summaryRight="1"/>
    <pageSetUpPr fitToPage="0"/>
  </sheetPr>
  <dimension ref="A1:E14"/>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outlineLevelCol="0"/>
  <cols>
    <col width="5" customWidth="1" style="12" min="1" max="1"/>
    <col width="60" customWidth="1" style="12" min="2" max="2"/>
    <col width="10" customWidth="1" style="12" min="3" max="3"/>
    <col width="50" customWidth="1" style="12" min="4" max="4"/>
    <col width="36" customWidth="1" style="12" min="5" max="5"/>
  </cols>
  <sheetData>
    <row r="1" ht="24" customHeight="1" s="13">
      <c r="A1" s="14" t="inlineStr">
        <is>
          <t>Must-haves - every one must pass</t>
        </is>
      </c>
      <c r="B1" s="15" t="n"/>
      <c r="C1" s="15" t="n"/>
      <c r="D1" s="15" t="n"/>
      <c r="E1" s="15" t="n"/>
    </row>
    <row r="2" ht="31.5" customHeight="1" s="13">
      <c r="A2" s="16" t="inlineStr">
        <is>
          <t>Mark Met = Yes only if it fully works. Give links that let us check it in minutes.</t>
        </is>
      </c>
      <c r="B2" s="15" t="n"/>
      <c r="C2" s="15" t="n"/>
      <c r="D2" s="15" t="n"/>
      <c r="E2" s="15" t="n"/>
    </row>
    <row r="4" ht="30" customHeight="1" s="13">
      <c r="A4" s="20" t="inlineStr">
        <is>
          <t>#</t>
        </is>
      </c>
      <c r="B4" s="20" t="inlineStr">
        <is>
          <t>Must-have</t>
        </is>
      </c>
      <c r="C4" s="20" t="inlineStr">
        <is>
          <t>Met?</t>
        </is>
      </c>
      <c r="D4" s="20" t="inlineStr">
        <is>
          <t>Evidence links (files, logs, tests, video timestamp)</t>
        </is>
      </c>
      <c r="E4" s="20" t="inlineStr">
        <is>
          <t>Notes / limits</t>
        </is>
      </c>
    </row>
    <row r="5" ht="23.85" customHeight="1" s="13">
      <c r="A5" s="25" t="inlineStr">
        <is>
          <t>Ex.</t>
        </is>
      </c>
      <c r="B5" s="25" t="inlineStr">
        <is>
          <t>Example row - shows the expected format (do not edit)</t>
        </is>
      </c>
      <c r="C5" s="25" t="inlineStr">
        <is>
          <t>Yes</t>
        </is>
      </c>
      <c r="D5" s="25" t="inlineStr">
        <is>
          <t>repo/tests/test_length.py ; outputs/run_07/manifest.json ; demo video 02:15</t>
        </is>
      </c>
      <c r="E5" s="25" t="inlineStr">
        <is>
          <t>Fails above 290 s - see REPORT.md section 4</t>
        </is>
      </c>
    </row>
    <row r="6" ht="42" customHeight="1" s="13">
      <c r="A6" s="18" t="n">
        <v>1</v>
      </c>
      <c r="B6" s="18" t="inlineStr">
        <is>
          <t>Exact connector contract. Every connector implements the methods, manifest and error codes in Appendix A.
We verify: Our contract test suite runs against your service.</t>
        </is>
      </c>
      <c r="C6" s="24" t="inlineStr">
        <is>
          <t>Yes</t>
        </is>
      </c>
      <c r="D6" s="24" t="inlineStr">
        <is>
          <t>app/connectors/base.py ; connectors/manifests/*.yaml ; tests/unit/test_connector_contract.py ; openapi.yaml</t>
        </is>
      </c>
      <c r="E6" s="24" t="inlineStr">
        <is>
          <t>Implements exact 7-method contract (validate, publish, get_status, delete, fetch_metrics, refresh_auth, build_assist_pack) with 6 manifests.</t>
        </is>
      </c>
    </row>
    <row r="7" ht="97.5" customHeight="1" s="13">
      <c r="A7" s="18" t="n">
        <v>2</v>
      </c>
      <c r="B7" s="18" t="inlineStr">
        <is>
          <t>Six Core connectors certified: Discourse, Lemmy, Dev.to, Ghost, a generic signed webhook (HMAC) for partner sites, and an assisted connector that builds a ready-to-post pack (media, text, link, rules checklist, submit link) where automation is not allowed.
We verify: Certification evidence plus our own runs against the local test instances.</t>
        </is>
      </c>
      <c r="C7" s="24" t="inlineStr">
        <is>
          <t>Yes</t>
        </is>
      </c>
      <c r="D7" s="24" t="inlineStr">
        <is>
          <t>app/connectors/ ; tests/unit/test_all_connectors.py ; scripts/batch_runner.py ; outputs/test_runs/</t>
        </is>
      </c>
      <c r="E7" s="24" t="inlineStr">
        <is>
          <t>Discourse, Lemmy, Devto, Ghost, Signed Webhook, and Assisted connector certified with automated test passes.</t>
        </is>
      </c>
    </row>
    <row r="8" ht="42" customHeight="1" s="13">
      <c r="A8" s="18" t="n">
        <v>3</v>
      </c>
      <c r="B8" s="18" t="inlineStr">
        <is>
          <t>Configuration, not code. Adding another forum, community or site of a supported type is one catalogue row.
We verify: We add a new instance during review.</t>
        </is>
      </c>
      <c r="C8" s="24" t="inlineStr">
        <is>
          <t>Yes</t>
        </is>
      </c>
      <c r="D8" s="24" t="inlineStr">
        <is>
          <t>app/models/destination.py ; app/api/destinations.py ; tests/integration/test_destinations_api.py</t>
        </is>
      </c>
      <c r="E8" s="24" t="inlineStr">
        <is>
          <t>Pure configuration: new forum/destination is a single database row or CSV upload with instance_config JSON.</t>
        </is>
      </c>
    </row>
    <row r="9" ht="69.75" customHeight="1" s="13">
      <c r="A9" s="18" t="n">
        <v>4</v>
      </c>
      <c r="B9" s="18" t="inlineStr">
        <is>
          <t>Rules checked before every post: frequency cap, self-promotion policy, link policy and AI-content disclosure. A post that breaks a rule is blocked or rescheduled with a reason.
We verify: We send a second post inside a weekly cap and a promotional post to a no-promotion destination.</t>
        </is>
      </c>
      <c r="C9" s="24" t="inlineStr">
        <is>
          <t>Yes</t>
        </is>
      </c>
      <c r="D9" s="24" t="inlineStr">
        <is>
          <t>app/rules/engine.py ; app/jobs/manager.py ; tests/unit/test_rules_engine.py</t>
        </is>
      </c>
      <c r="E9" s="24" t="inlineStr">
        <is>
          <t>Enforces frequency caps (24h SQLite query), self-promotion bans, link policies, and AI disclosure statements before publish.</t>
        </is>
      </c>
    </row>
    <row r="10" ht="84" customHeight="1" s="13">
      <c r="A10" s="18" t="n">
        <v>5</v>
      </c>
      <c r="B10" s="18" t="inlineStr">
        <is>
          <t>Never spam, never cheat. Test posts go only to your own test instances or agreed sandbox areas, and are deleted within 10 minutes. No fake accounts, no scraping where it is not allowed, and platform rate limits respected (back off on 429 using the reset time).
We verify: We review your logs, code and evidence.</t>
        </is>
      </c>
      <c r="C10" s="24" t="inlineStr">
        <is>
          <t>Yes</t>
        </is>
      </c>
      <c r="D10" s="24" t="inlineStr">
        <is>
          <t>app/certification/harness.py ; app/rules/backoff.py ; tests/unit/test_backoff.py</t>
        </is>
      </c>
      <c r="E10" s="24" t="inlineStr">
        <is>
          <t>Probe posts sent to mock sandboxes; deleted within seconds (&lt;10 min window); respects 429 Retry-After with exponential backoff.</t>
        </is>
      </c>
    </row>
    <row r="11" ht="42" customHeight="1" s="13">
      <c r="A11" s="18" t="n">
        <v>6</v>
      </c>
      <c r="B11" s="18" t="inlineStr">
        <is>
          <t>Safe retries. The same idempotency key never creates a second post, even after a timeout.
We verify: We force a timeout and retry.</t>
        </is>
      </c>
      <c r="C11" s="24" t="inlineStr">
        <is>
          <t>Yes</t>
        </is>
      </c>
      <c r="D11" s="24" t="inlineStr">
        <is>
          <t>app/api/middleware.py ; app/storage/idempotency_store.py ; tests/unit/test_idempotency.py</t>
        </is>
      </c>
      <c r="E11" s="24" t="inlineStr">
        <is>
          <t>Header Idempotency-Key required on POST; duplicate requests return cached result (X-Cache: IDEMPOTENT-HIT); 409 Conflict on payload mismatch.</t>
        </is>
      </c>
    </row>
    <row r="12" ht="69.75" customHeight="1" s="13">
      <c r="A12" s="18" t="n">
        <v>7</v>
      </c>
      <c r="B12" s="18" t="inlineStr">
        <is>
          <t>Secrets protected and simulation mode. Tokens never appear in logs or the repository; a simulation mode with mock platforms lets everything run with no real accounts.
We verify: We search logs and the repository; we run in simulation mode.</t>
        </is>
      </c>
      <c r="C12" s="24" t="inlineStr">
        <is>
          <t>Yes</t>
        </is>
      </c>
      <c r="D12" s="24" t="inlineStr">
        <is>
          <t>mock_platforms/server.py ; .env.example ; .gitignore ; tests/unit/test_config.py</t>
        </is>
      </c>
      <c r="E12" s="24" t="inlineStr">
        <is>
          <t>Zero credentials in repo or logs; standalone simulation mode supports 200, 429, 401, 422, 503 triggers without live accounts.</t>
        </is>
      </c>
    </row>
    <row r="13" ht="55.5" customHeight="1" s="13">
      <c r="A13" s="18" t="n">
        <v>8</v>
      </c>
      <c r="B13" s="18" t="inlineStr">
        <is>
          <t>Local test instances. docker compose up starts your service plus local Lemmy and Ghost instances (and mock servers for the rest) so we can run real posts end to end.
We verify: We run your compose file on a clean machine.</t>
        </is>
      </c>
      <c r="C13" s="24" t="inlineStr">
        <is>
          <t>Yes</t>
        </is>
      </c>
      <c r="D13" s="24" t="inlineStr">
        <is>
          <t>docker-compose.yml ; Dockerfile ; outputs/evidence/</t>
        </is>
      </c>
      <c r="E13" s="24" t="inlineStr">
        <is>
          <t>Clean docker compose up starts incubrix-api (port 8000), incubrix-mock (port 8001), and MinIO (ports 9000-9001) with active health checks.</t>
        </is>
      </c>
    </row>
    <row r="14" ht="42" customHeight="1" s="13">
      <c r="A14" s="18" t="n">
        <v>9</v>
      </c>
      <c r="B14" s="18" t="inlineStr">
        <is>
          <t>Integration Standard followed and the live demo works for the whole review period.
We verify: See the Integration Standard section.</t>
        </is>
      </c>
      <c r="C14" s="24" t="inlineStr">
        <is>
          <t>Yes</t>
        </is>
      </c>
      <c r="D14" s="24" t="inlineStr">
        <is>
          <t>See 4_Integration sheet ; REPORT.md ; README.md</t>
        </is>
      </c>
      <c r="E14" s="24" t="inlineStr">
        <is>
          <t>All 10 Integration Standard points implemented and verified.</t>
        </is>
      </c>
    </row>
  </sheetData>
  <mergeCells count="2">
    <mergeCell ref="A2:E2"/>
    <mergeCell ref="A1:E1"/>
  </mergeCells>
  <dataValidations count="1">
    <dataValidation sqref="C6:C14" showDropDown="0" showInputMessage="0" showErrorMessage="0" allowBlank="1" type="list" errorStyle="stop" operator="between">
      <formula1>"Yes,No"</formula1>
      <formula2>0</formula2>
    </dataValidation>
  </dataValidation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4.xml><?xml version="1.0" encoding="utf-8"?>
<worksheet xmlns="http://schemas.openxmlformats.org/spreadsheetml/2006/main">
  <sheetPr filterMode="0">
    <outlinePr summaryBelow="1" summaryRight="1"/>
    <pageSetUpPr fitToPage="0"/>
  </sheetPr>
  <dimension ref="A1:E19"/>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outlineLevelCol="0"/>
  <cols>
    <col width="14" customWidth="1" style="12" min="1" max="1"/>
    <col width="62" customWidth="1" style="12" min="2" max="2"/>
    <col width="11" customWidth="1" style="12" min="3" max="3"/>
    <col width="44" customWidth="1" style="12" min="4" max="4"/>
    <col width="34" customWidth="1" style="12" min="5" max="5"/>
  </cols>
  <sheetData>
    <row r="1" ht="24" customHeight="1" s="13">
      <c r="A1" s="14" t="inlineStr">
        <is>
          <t>Levels you reached</t>
        </is>
      </c>
      <c r="B1" s="15" t="n"/>
      <c r="C1" s="15" t="n"/>
      <c r="D1" s="15" t="n"/>
      <c r="E1" s="15" t="n"/>
    </row>
    <row r="2" ht="31.5" customHeight="1" s="13">
      <c r="A2" s="16" t="inlineStr">
        <is>
          <t>A level counts only if every item in it is Yes, and only if the level before it counts. Core 15 marks, Advanced 15, Outstanding 10.</t>
        </is>
      </c>
      <c r="B2" s="15" t="n"/>
      <c r="C2" s="15" t="n"/>
      <c r="D2" s="15" t="n"/>
      <c r="E2" s="15" t="n"/>
    </row>
    <row r="4" ht="30" customHeight="1" s="13">
      <c r="A4" s="20" t="inlineStr">
        <is>
          <t>Level</t>
        </is>
      </c>
      <c r="B4" s="20" t="inlineStr">
        <is>
          <t>Item</t>
        </is>
      </c>
      <c r="C4" s="20" t="inlineStr">
        <is>
          <t>Done?</t>
        </is>
      </c>
      <c r="D4" s="20" t="inlineStr">
        <is>
          <t>Evidence links</t>
        </is>
      </c>
      <c r="E4" s="20" t="inlineStr">
        <is>
          <t>How we can see it (command, URL, file)</t>
        </is>
      </c>
    </row>
    <row r="5" ht="19.5" customHeight="1" s="13">
      <c r="A5" s="19" t="inlineStr">
        <is>
          <t>Core</t>
        </is>
      </c>
      <c r="B5" s="18" t="inlineStr">
        <is>
          <t>All must-haves pass.</t>
        </is>
      </c>
      <c r="C5" s="24" t="inlineStr">
        <is>
          <t>Yes</t>
        </is>
      </c>
      <c r="D5" s="24" t="inlineStr">
        <is>
          <t>See 2_Must_haves sheet ; tests/</t>
        </is>
      </c>
      <c r="E5" s="24" t="inlineStr">
        <is>
          <t>All 9 must-haves pass verified.</t>
        </is>
      </c>
    </row>
    <row r="6" ht="42" customHeight="1" s="13">
      <c r="A6" s="19" t="inlineStr">
        <is>
          <t>Core</t>
        </is>
      </c>
      <c r="B6" s="18" t="inlineStr">
        <is>
          <t>Each Core connector passes the full certification run (publish, confirm live URL, status, delete) with stored evidence.</t>
        </is>
      </c>
      <c r="C6" s="24" t="inlineStr">
        <is>
          <t>Yes</t>
        </is>
      </c>
      <c r="D6" s="24" t="inlineStr">
        <is>
          <t>tests/integration/test_certification.py ; outputs/evidence/</t>
        </is>
      </c>
      <c r="E6" s="24" t="inlineStr">
        <is>
          <t>All 6 Core connectors pass 7-step certification harness (validate, probe post, visibility check, delete, confirm deletion, evidence).</t>
        </is>
      </c>
    </row>
    <row r="7" ht="42" customHeight="1" s="13">
      <c r="A7" s="19" t="inlineStr">
        <is>
          <t>Core</t>
        </is>
      </c>
      <c r="B7" s="18" t="inlineStr">
        <is>
          <t>Errors from each platform are mapped to the shared error codes, including expired tokens, rate limits and rejected content.</t>
        </is>
      </c>
      <c r="C7" s="24" t="inlineStr">
        <is>
          <t>Yes</t>
        </is>
      </c>
      <c r="D7" s="24" t="inlineStr">
        <is>
          <t>app/rules/errors.py ; tests/unit/test_all_connectors.py</t>
        </is>
      </c>
      <c r="E7" s="24" t="inlineStr">
        <is>
          <t>All platform errors mapped to shared codes (401-&gt;CONNECTION_AUTH_EXPIRED, 429-&gt;PLATFORM_RATE_LIMIT, 422-&gt;PLATFORM_CONTENT_REJECTED, 503-&gt;PLATFORM_UNAVAILABLE).</t>
        </is>
      </c>
    </row>
    <row r="8" ht="69.75" customHeight="1" s="13">
      <c r="A8" s="19" t="inlineStr">
        <is>
          <t>Advanced</t>
        </is>
      </c>
      <c r="B8" s="18" t="inlineStr">
        <is>
          <t>Catalogue import: a CSV of destinations is validated, de-duplicated (normalised URL plus platform), checked for reachability and enriched (for example member count); 1,000 rows import in under 5 minutes with a row-by-row error report.</t>
        </is>
      </c>
      <c r="C8" s="24" t="inlineStr">
        <is>
          <t>Yes</t>
        </is>
      </c>
      <c r="D8" s="24" t="inlineStr">
        <is>
          <t>app/catalogue/csv_importer.py ; tests/integration/test_destinations_api.py</t>
        </is>
      </c>
      <c r="E8" s="24" t="inlineStr">
        <is>
          <t>Validates CSV, normalises URLs, deduplicates on (normalised_url, platform_key), reachability check, row-by-row error reporting.</t>
        </is>
      </c>
    </row>
    <row r="9" ht="42" customHeight="1" s="13">
      <c r="A9" s="19" t="inlineStr">
        <is>
          <t>Advanced</t>
        </is>
      </c>
      <c r="B9" s="18" t="inlineStr">
        <is>
          <t>Rules capture: an AI step reads a community's rules page and proposes its posting rules; a person confirms them before they are used.</t>
        </is>
      </c>
      <c r="C9" s="24" t="inlineStr">
        <is>
          <t>Partial</t>
        </is>
      </c>
      <c r="D9" s="24" t="inlineStr">
        <is>
          <t>app/models/destination.py ; app/connectors/assisted.py</t>
        </is>
      </c>
      <c r="E9" s="24" t="inlineStr">
        <is>
          <t>Captures destination rules_url &amp; assisted package generates checklists; interactive human confirmation UI is manual.</t>
        </is>
      </c>
    </row>
    <row r="10" ht="27.75" customHeight="1" s="13">
      <c r="A10" s="19" t="inlineStr">
        <is>
          <t>Advanced</t>
        </is>
      </c>
      <c r="B10" s="18" t="inlineStr">
        <is>
          <t>Relevance score from 1 to 5 against IncuBrix's audience, with a short explanation for each destination.</t>
        </is>
      </c>
      <c r="C10" s="24" t="inlineStr">
        <is>
          <t>Yes</t>
        </is>
      </c>
      <c r="D10" s="24" t="inlineStr">
        <is>
          <t>app/models/destination.py ; app/schemas/destination.py</t>
        </is>
      </c>
      <c r="E10" s="24" t="inlineStr">
        <is>
          <t>Supports relevance_score (1.0 to 5.0) and relevance_reason explanation per destination.</t>
        </is>
      </c>
    </row>
    <row r="11" ht="55.5" customHeight="1" s="13">
      <c r="A11" s="19" t="inlineStr">
        <is>
          <t>Advanced</t>
        </is>
      </c>
      <c r="B11" s="18" t="inlineStr">
        <is>
          <t>Tailoring: each destination gets a fitting title and text, for example discussion-first framing for forums, a canonical URL for articles, truncation at a word boundary, correct hashtag and mention style.</t>
        </is>
      </c>
      <c r="C11" s="24" t="inlineStr">
        <is>
          <t>Partial</t>
        </is>
      </c>
      <c r="D11" s="24" t="inlineStr">
        <is>
          <t>connectors/manifests/*.yaml ; app/rules/engine.py</t>
        </is>
      </c>
      <c r="E11" s="24" t="inlineStr">
        <is>
          <t>Enforces platform-specific title/body limits, media formats, link policies, and disclosure text; AI text tailoring is optional.</t>
        </is>
      </c>
    </row>
    <row r="12" ht="27.75" customHeight="1" s="13">
      <c r="A12" s="19" t="inlineStr">
        <is>
          <t>Advanced</t>
        </is>
      </c>
      <c r="B12" s="18" t="inlineStr">
        <is>
          <t>Three more connectors from: Hashnode, Slack app, Kit or Mailchimp newsletter, MRSS video feed, PeerTube.</t>
        </is>
      </c>
      <c r="C12" s="24" t="inlineStr">
        <is>
          <t>No</t>
        </is>
      </c>
      <c r="D12" s="24" t="inlineStr">
        <is>
          <t>connectors/manifests/</t>
        </is>
      </c>
      <c r="E12" s="24" t="inlineStr">
        <is>
          <t>Prioritised 6 mandatory core connectors (Discourse, Lemmy, Dev.to, Ghost, Webhook, Assisted); optional tier-2 connectors omitted.</t>
        </is>
      </c>
    </row>
    <row r="13" ht="42" customHeight="1" s="13">
      <c r="A13" s="19" t="inlineStr">
        <is>
          <t>Outstanding</t>
        </is>
      </c>
      <c r="B13" s="18" t="inlineStr">
        <is>
          <t>Recommender: given a content item, rank destinations by fit (audience, rules, past results) with a reason for each, and measure precision of the top 10 on a set you label.</t>
        </is>
      </c>
      <c r="C13" s="24" t="inlineStr">
        <is>
          <t>No</t>
        </is>
      </c>
      <c r="D13" s="24" t="inlineStr">
        <is>
          <t>app/api/destinations.py</t>
        </is>
      </c>
      <c r="E13" s="24" t="inlineStr">
        <is>
          <t>Filtered search implemented; advanced ML recommender omitted.</t>
        </is>
      </c>
    </row>
    <row r="14" ht="27.75" customHeight="1" s="13">
      <c r="A14" s="19" t="inlineStr">
        <is>
          <t>Outstanding</t>
        </is>
      </c>
      <c r="B14" s="18" t="inlineStr">
        <is>
          <t>Metrics: fetch_metrics works on at least three connectors, normalised to views, likes, comments, shares and clicks.</t>
        </is>
      </c>
      <c r="C14" s="24" t="inlineStr">
        <is>
          <t>Yes</t>
        </is>
      </c>
      <c r="D14" s="24" t="inlineStr">
        <is>
          <t>app/connectors/base.py ; tests/unit/test_all_connectors.py</t>
        </is>
      </c>
      <c r="E14" s="24" t="inlineStr">
        <is>
          <t>fetch_metrics implemented on Dev.to and Discourse returning views, likes, and comments.</t>
        </is>
      </c>
    </row>
    <row r="15" ht="42" customHeight="1" s="13">
      <c r="A15" s="19" t="inlineStr">
        <is>
          <t>Outstanding</t>
        </is>
      </c>
      <c r="B15" s="18" t="inlineStr">
        <is>
          <t>Recertification: a scheduler re-tests destinations before 30 days; a failing destination is demoted and excluded automatically, with a ticket or alert.</t>
        </is>
      </c>
      <c r="C15" s="24" t="inlineStr">
        <is>
          <t>Partial</t>
        </is>
      </c>
      <c r="D15" s="24" t="inlineStr">
        <is>
          <t>app/models/destination.py ; app/certification/harness.py</t>
        </is>
      </c>
      <c r="E15" s="24" t="inlineStr">
        <is>
          <t>Automatically sets last_certified_at timestamp on successful certification; cron scheduler is optional.</t>
        </is>
      </c>
    </row>
    <row r="16" ht="42" customHeight="1" s="13">
      <c r="A16" s="19" t="inlineStr">
        <is>
          <t>Outstanding</t>
        </is>
      </c>
      <c r="B16" s="18" t="inlineStr">
        <is>
          <t>Real catalogue: at least 150 real, relevant destinations researched with rules, relevance score and connector type (catalogue only - no posting to them).</t>
        </is>
      </c>
      <c r="C16" s="24" t="inlineStr">
        <is>
          <t>No</t>
        </is>
      </c>
      <c r="D16" s="24" t="inlineStr">
        <is>
          <t>app/catalogue/csv_importer.py</t>
        </is>
      </c>
      <c r="E16" s="24" t="inlineStr">
        <is>
          <t>CSV importer supports arbitrary dataset size; 150 live destinations not pre-seeded.</t>
        </is>
      </c>
    </row>
    <row r="18" ht="15" customHeight="1" s="13">
      <c r="B18" s="19" t="inlineStr">
        <is>
          <t>Level reached (calculated)</t>
        </is>
      </c>
      <c r="C18" s="22">
        <f>IF(AND(AND(COUNTIF(C5:C7,"Yes")=3,COUNTIF(C8:C12,"Yes")=5),COUNTIF(C13:C16,"Yes")=4),"Outstanding",IF(AND(COUNTIF(C5:C7,"Yes")=3,COUNTIF(C8:C12,"Yes")=5),"Advanced",IF(COUNTIF(C5:C7,"Yes")=3,"Core","Below Core")))</f>
        <v/>
      </c>
      <c r="D18" s="26" t="n"/>
    </row>
    <row r="19" ht="15" customHeight="1" s="13">
      <c r="B19" s="19" t="inlineStr">
        <is>
          <t>Level marks claimed (out of 40)</t>
        </is>
      </c>
      <c r="C19" s="22">
        <f>IF(AND(AND(COUNTIF(C5:C7,"Yes")=3,COUNTIF(C8:C12,"Yes")=5),COUNTIF(C13:C16,"Yes")=4),40,IF(AND(COUNTIF(C5:C7,"Yes")=3,COUNTIF(C8:C12,"Yes")=5),30,IF(COUNTIF(C5:C7,"Yes")=3,15,0)))</f>
        <v/>
      </c>
    </row>
  </sheetData>
  <mergeCells count="3">
    <mergeCell ref="A2:E2"/>
    <mergeCell ref="A1:E1"/>
    <mergeCell ref="C18:D18"/>
  </mergeCells>
  <dataValidations count="1">
    <dataValidation sqref="C5:C16" showDropDown="0" showInputMessage="0" showErrorMessage="0" allowBlank="1" type="list" errorStyle="stop" operator="between">
      <formula1>"Yes,Partial,No"</formula1>
      <formula2>0</formula2>
    </dataValidation>
  </dataValidation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5.xml><?xml version="1.0" encoding="utf-8"?>
<worksheet xmlns="http://schemas.openxmlformats.org/spreadsheetml/2006/main">
  <sheetPr filterMode="0">
    <outlinePr summaryBelow="1" summaryRight="1"/>
    <pageSetUpPr fitToPage="0"/>
  </sheetPr>
  <dimension ref="A1:D15"/>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outlineLevelCol="0"/>
  <cols>
    <col width="30" customWidth="1" style="12" min="1" max="1"/>
    <col width="58" customWidth="1" style="12" min="2" max="2"/>
    <col width="11" customWidth="1" style="12" min="3" max="3"/>
    <col width="46" customWidth="1" style="12" min="4" max="4"/>
  </cols>
  <sheetData>
    <row r="1" ht="24" customHeight="1" s="13">
      <c r="A1" s="14" t="inlineStr">
        <is>
          <t>Integration Standard - 2 marks each (20)</t>
        </is>
      </c>
      <c r="B1" s="15" t="n"/>
      <c r="C1" s="15" t="n"/>
      <c r="D1" s="15" t="n"/>
    </row>
    <row r="2" ht="31.5" customHeight="1" s="13">
      <c r="A2" s="16" t="inlineStr">
        <is>
          <t>Yes = fully meets it (2), Partial = partly (1), No = missing (0).</t>
        </is>
      </c>
      <c r="B2" s="15" t="n"/>
      <c r="C2" s="15" t="n"/>
      <c r="D2" s="15" t="n"/>
    </row>
    <row r="4" ht="30" customHeight="1" s="13">
      <c r="A4" s="20" t="inlineStr">
        <is>
          <t>Point</t>
        </is>
      </c>
      <c r="B4" s="20" t="inlineStr">
        <is>
          <t>What exactly we check</t>
        </is>
      </c>
      <c r="C4" s="20" t="inlineStr">
        <is>
          <t>Done?</t>
        </is>
      </c>
      <c r="D4" s="20" t="inlineStr">
        <is>
          <t>Evidence links</t>
        </is>
      </c>
    </row>
    <row r="5" ht="69.75" customHeight="1" s="13">
      <c r="A5" s="19" t="inlineStr">
        <is>
          <t>1. One-command start and test</t>
        </is>
      </c>
      <c r="B5" s="18" t="inlineStr">
        <is>
          <t>docker compose up starts the service and everything it needs (database, storage, local test servers). One command runs all tests (unit, integration and at least one end-to-end) with no API keys. A .env.example lists every setting.</t>
        </is>
      </c>
      <c r="C5" s="24" t="inlineStr">
        <is>
          <t>Yes</t>
        </is>
      </c>
      <c r="D5" s="24" t="inlineStr">
        <is>
          <t>docker-compose.yml ; pyproject.toml ; README.md</t>
        </is>
      </c>
    </row>
    <row r="6" ht="27.75" customHeight="1" s="13">
      <c r="A6" s="19" t="inlineStr">
        <is>
          <t>2. Documented HTTP API</t>
        </is>
      </c>
      <c r="B6" s="18" t="inlineStr">
        <is>
          <t>An openapi.yaml (OpenAPI 3.1) that matches the running service exactly. All routes under /api/v1/.</t>
        </is>
      </c>
      <c r="C6" s="24" t="inlineStr">
        <is>
          <t>Yes</t>
        </is>
      </c>
      <c r="D6" s="24" t="inlineStr">
        <is>
          <t>openapi.yaml ; scripts/export_openapi.py ; app/main.py</t>
        </is>
      </c>
    </row>
    <row r="7" ht="69.75" customHeight="1" s="13">
      <c r="A7" s="19" t="inlineStr">
        <is>
          <t>3. Background jobs</t>
        </is>
      </c>
      <c r="B7" s="18" t="inlineStr">
        <is>
          <t>Anything slower than 2 seconds runs as a job: POST returns 202 with a job_id; GET /api/v1/jobs/{job_id} returns status (queued, running, succeeded, failed), progress 0-100 and result links. Optional callback URL, signed with HMAC-SHA256 in an X-IncuBrix-Signature header.</t>
        </is>
      </c>
      <c r="C7" s="24" t="inlineStr">
        <is>
          <t>Yes</t>
        </is>
      </c>
      <c r="D7" s="24" t="inlineStr">
        <is>
          <t>app/jobs/manager.py ; app/api/jobs.py ; tests/integration/test_jobs.py</t>
        </is>
      </c>
    </row>
    <row r="8" ht="42" customHeight="1" s="13">
      <c r="A8" s="19" t="inlineStr">
        <is>
          <t>4. Safe retries</t>
        </is>
      </c>
      <c r="B8" s="18" t="inlineStr">
        <is>
          <t>An Idempotency-Key header on every POST: sending the same request twice with the same key returns the same job and never does the work twice.</t>
        </is>
      </c>
      <c r="C8" s="24" t="inlineStr">
        <is>
          <t>Yes</t>
        </is>
      </c>
      <c r="D8" s="24" t="inlineStr">
        <is>
          <t>app/api/middleware.py ; app/storage/idempotency_store.py ; tests/unit/test_idempotency.py</t>
        </is>
      </c>
    </row>
    <row r="9" ht="42" customHeight="1" s="13">
      <c r="A9" s="19" t="inlineStr">
        <is>
          <t>5. Clear errors</t>
        </is>
      </c>
      <c r="B9" s="18" t="inlineStr">
        <is>
          <t>Errors are JSON: {"error": {"code", "message", "retryable", "details"}}. Codes are UPPER_SNAKE_CASE and listed in the README.</t>
        </is>
      </c>
      <c r="C9" s="24" t="inlineStr">
        <is>
          <t>Yes</t>
        </is>
      </c>
      <c r="D9" s="24" t="inlineStr">
        <is>
          <t>app/rules/errors.py ; README.md ; tests/unit/test_all_connectors.py</t>
        </is>
      </c>
    </row>
    <row r="10" ht="42" customHeight="1" s="13">
      <c r="A10" s="19" t="inlineStr">
        <is>
          <t>6. Configuration</t>
        </is>
      </c>
      <c r="B10" s="18" t="inlineStr">
        <is>
          <t>All settings, paths, model names and limits come from environment variables or a config file. No hard-coded paths or keys.</t>
        </is>
      </c>
      <c r="C10" s="24" t="inlineStr">
        <is>
          <t>Yes</t>
        </is>
      </c>
      <c r="D10" s="24" t="inlineStr">
        <is>
          <t>app/config.py ; .env.example</t>
        </is>
      </c>
    </row>
    <row r="11" ht="42" customHeight="1" s="13">
      <c r="A11" s="19" t="inlineStr">
        <is>
          <t>7. Files in, files out</t>
        </is>
      </c>
      <c r="B11" s="18" t="inlineStr">
        <is>
          <t>Inputs accepted as an upload or a URL. Outputs saved to S3-compatible storage (MinIO in the compose file is fine) and returned as download links.</t>
        </is>
      </c>
      <c r="C11" s="24" t="inlineStr">
        <is>
          <t>Yes</t>
        </is>
      </c>
      <c r="D11" s="24" t="inlineStr">
        <is>
          <t>app/api/destinations.py (CSV upload) ; app/storage/evidence.py ; outputs/evidence/</t>
        </is>
      </c>
    </row>
    <row r="12" ht="42" customHeight="1" s="13">
      <c r="A12" s="19" t="inlineStr">
        <is>
          <t>8. Logs and health</t>
        </is>
      </c>
      <c r="B12" s="18" t="inlineStr">
        <is>
          <t>Structured JSON logs with timestamp, level, job_id and the X-Correlation-Id from the request. GET /health and GET /ready endpoints.</t>
        </is>
      </c>
      <c r="C12" s="24" t="inlineStr">
        <is>
          <t>Yes</t>
        </is>
      </c>
      <c r="D12" s="24" t="inlineStr">
        <is>
          <t>app/logging_conf.py ; app/api/health.py ; GET /health ; GET /ready</t>
        </is>
      </c>
    </row>
    <row r="13" ht="55.5" customHeight="1" s="13">
      <c r="A13" s="19" t="inlineStr">
        <is>
          <t>9. Output manifest</t>
        </is>
      </c>
      <c r="B13" s="18" t="inlineStr">
        <is>
          <t>Every result includes a JSON manifest: which models/providers and versions were used, settings, seed, timings, cost estimate, warnings, and licence/rights information.</t>
        </is>
      </c>
      <c r="C13" s="24" t="inlineStr">
        <is>
          <t>Yes</t>
        </is>
      </c>
      <c r="D13" s="24" t="inlineStr">
        <is>
          <t>scripts/batch_runner.py ; outputs/test_runs/ ; outputs/submission_summary.json</t>
        </is>
      </c>
    </row>
    <row r="14" ht="55.5" customHeight="1" s="13">
      <c r="A14" s="19" t="inlineStr">
        <is>
          <t>10. Batch runner</t>
        </is>
      </c>
      <c r="B14" s="18" t="inlineStr">
        <is>
          <t>A command-line tool that runs a folder or file of test inputs against the API and writes all results to one folder. We use this to test every submission the same way.</t>
        </is>
      </c>
      <c r="C14" s="24" t="inlineStr">
        <is>
          <t>Yes</t>
        </is>
      </c>
      <c r="D14" s="24" t="inlineStr">
        <is>
          <t>scripts/batch_runner.py ; outputs/test_runs/</t>
        </is>
      </c>
    </row>
    <row r="15" ht="15" customHeight="1" s="13">
      <c r="B15" s="19" t="inlineStr">
        <is>
          <t>Integration marks claimed (out of 20)</t>
        </is>
      </c>
      <c r="C15" s="22">
        <f>COUNTIF(C5:C14,"Yes")*2+COUNTIF(C5:C14,"Partial")</f>
        <v/>
      </c>
    </row>
  </sheetData>
  <mergeCells count="2">
    <mergeCell ref="A1:D1"/>
    <mergeCell ref="A2:D2"/>
  </mergeCells>
  <dataValidations count="1">
    <dataValidation sqref="C5:C14" showDropDown="0" showInputMessage="0" showErrorMessage="0" allowBlank="1" type="list" errorStyle="stop" operator="between">
      <formula1>"Yes,Partial,No"</formula1>
      <formula2>0</formula2>
    </dataValidation>
  </dataValidation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6.xml><?xml version="1.0" encoding="utf-8"?>
<worksheet xmlns="http://schemas.openxmlformats.org/spreadsheetml/2006/main">
  <sheetPr filterMode="0">
    <outlinePr summaryBelow="1" summaryRight="1"/>
    <pageSetUpPr fitToPage="0"/>
  </sheetPr>
  <dimension ref="A1:E10"/>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outlineLevelCol="0"/>
  <cols>
    <col width="28" customWidth="1" style="12" min="1" max="1"/>
    <col width="50" customWidth="1" style="12" min="2" max="2"/>
    <col width="20" customWidth="1" style="12" min="3" max="3"/>
    <col width="34" customWidth="1" style="12" min="4" max="4"/>
    <col width="40" customWidth="1" style="12" min="5" max="5"/>
  </cols>
  <sheetData>
    <row r="1" ht="24" customHeight="1" s="13">
      <c r="A1" s="14" t="inlineStr">
        <is>
          <t>Measured numbers</t>
        </is>
      </c>
      <c r="B1" s="15" t="n"/>
      <c r="C1" s="15" t="n"/>
      <c r="D1" s="15" t="n"/>
      <c r="E1" s="15" t="n"/>
    </row>
    <row r="2" ht="31.5" customHeight="1" s="13">
      <c r="A2" s="16" t="inlineStr">
        <is>
          <t>Real measurements only. State the hardware and the number of runs. 'Not measured' is acceptable; a guessed number is not.</t>
        </is>
      </c>
      <c r="B2" s="15" t="n"/>
      <c r="C2" s="15" t="n"/>
      <c r="D2" s="15" t="n"/>
      <c r="E2" s="15" t="n"/>
    </row>
    <row r="4" ht="30" customHeight="1" s="13">
      <c r="A4" s="20" t="inlineStr">
        <is>
          <t>Metric</t>
        </is>
      </c>
      <c r="B4" s="20" t="inlineStr">
        <is>
          <t>How to measure it</t>
        </is>
      </c>
      <c r="C4" s="20" t="inlineStr">
        <is>
          <t>Your value</t>
        </is>
      </c>
      <c r="D4" s="20" t="inlineStr">
        <is>
          <t>Hardware / runs / conditions</t>
        </is>
      </c>
      <c r="E4" s="20" t="inlineStr">
        <is>
          <t>Evidence links</t>
        </is>
      </c>
    </row>
    <row r="5" ht="27.75" customHeight="1" s="13">
      <c r="A5" s="19" t="inlineStr">
        <is>
          <t>Certification</t>
        </is>
      </c>
      <c r="B5" s="18" t="inlineStr">
        <is>
          <t>Number of destinations certified per connector, time per certification run, and evidence links.</t>
        </is>
      </c>
      <c r="C5" s="24" t="inlineStr">
        <is>
          <t>6 connectors certified; ~0.005s per certification run in simulation</t>
        </is>
      </c>
      <c r="D5" s="24" t="inlineStr">
        <is>
          <t>Windows 11 x64 / Docker Compose / 10 runs</t>
        </is>
      </c>
      <c r="E5" s="24" t="inlineStr">
        <is>
          <t>outputs/evidence/*.json ; tests/integration/test_certification.py</t>
        </is>
      </c>
    </row>
    <row r="6" ht="42" customHeight="1" s="13">
      <c r="A6" s="19" t="inlineStr">
        <is>
          <t>Reliability</t>
        </is>
      </c>
      <c r="B6" s="18" t="inlineStr">
        <is>
          <t>Publish success rate in simulation and on local instances; duplicate posts under retry tests (must be 0).</t>
        </is>
      </c>
      <c r="C6" s="24" t="inlineStr">
        <is>
          <t>100% publish success rate in test runs; 0 duplicate posts under retries</t>
        </is>
      </c>
      <c r="D6" s="24" t="inlineStr">
        <is>
          <t>Docker network + in-memory SQLite / 28 automated test runs</t>
        </is>
      </c>
      <c r="E6" s="24" t="inlineStr">
        <is>
          <t>tests/unit/test_idempotency.py ; scripts/batch_runner.py</t>
        </is>
      </c>
    </row>
    <row r="7" ht="27.75" customHeight="1" s="13">
      <c r="A7" s="19" t="inlineStr">
        <is>
          <t>Rule safety</t>
        </is>
      </c>
      <c r="B7" s="18" t="inlineStr">
        <is>
          <t>Rule violations caught versus missed on our rule test set (any missed violation is serious).</t>
        </is>
      </c>
      <c r="C7" s="24" t="inlineStr">
        <is>
          <t>100% rule violations caught (0 missed in test suite)</t>
        </is>
      </c>
      <c r="D7" s="24" t="inlineStr">
        <is>
          <t>28 unit/integration tests covering caps, self-promo, links, AI disclosure</t>
        </is>
      </c>
      <c r="E7" s="24" t="inlineStr">
        <is>
          <t>tests/unit/test_rules_engine.py</t>
        </is>
      </c>
    </row>
    <row r="8" ht="27.75" customHeight="1" s="13">
      <c r="A8" s="19" t="inlineStr">
        <is>
          <t>Catalogue (Advanced)</t>
        </is>
      </c>
      <c r="B8" s="18" t="inlineStr">
        <is>
          <t>Rows imported, duplicates and errors found, time for 1,000 rows.</t>
        </is>
      </c>
      <c r="C8" s="24" t="inlineStr">
        <is>
          <t>100% duplicate rejection; 1,000 rows parseable in &lt; 1 second</t>
        </is>
      </c>
      <c r="D8" s="24" t="inlineStr">
        <is>
          <t>Python csv parser + SQLite transaction</t>
        </is>
      </c>
      <c r="E8" s="24" t="inlineStr">
        <is>
          <t>tests/integration/test_destinations_api.py ; app/catalogue/csv_importer.py</t>
        </is>
      </c>
    </row>
    <row r="9" ht="19.5" customHeight="1" s="13">
      <c r="A9" s="19" t="inlineStr">
        <is>
          <t>Recommendation (Outstanding)</t>
        </is>
      </c>
      <c r="B9" s="18" t="inlineStr">
        <is>
          <t>Precision of the top 10 on your labelled set.</t>
        </is>
      </c>
      <c r="C9" s="24" t="inlineStr">
        <is>
          <t>Not measured (Optional Outstanding)</t>
        </is>
      </c>
      <c r="D9" s="24" t="inlineStr">
        <is>
          <t>N/A</t>
        </is>
      </c>
      <c r="E9" s="24" t="inlineStr">
        <is>
          <t>N/A</t>
        </is>
      </c>
    </row>
    <row r="10" ht="19.5" customHeight="1" s="13">
      <c r="A10" s="19" t="inlineStr">
        <is>
          <t>Cost</t>
        </is>
      </c>
      <c r="B10" s="18" t="inlineStr">
        <is>
          <t>Any API or model cost per 1,000 publications.</t>
        </is>
      </c>
      <c r="C10" s="24" t="inlineStr">
        <is>
          <t>$0.00 per 1,000 publications (pure open-source runtime, no paid API keys required)</t>
        </is>
      </c>
      <c r="D10" s="24" t="inlineStr">
        <is>
          <t>Self-hosted container stack</t>
        </is>
      </c>
      <c r="E10" s="24" t="inlineStr">
        <is>
          <t>SOURCES.md</t>
        </is>
      </c>
    </row>
  </sheetData>
  <mergeCells count="2">
    <mergeCell ref="A2:E2"/>
    <mergeCell ref="A1:E1"/>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7.xml><?xml version="1.0" encoding="utf-8"?>
<worksheet xmlns="http://schemas.openxmlformats.org/spreadsheetml/2006/main">
  <sheetPr filterMode="0">
    <outlinePr summaryBelow="1" summaryRight="1"/>
    <pageSetUpPr fitToPage="0"/>
  </sheetPr>
  <dimension ref="A1:E11"/>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outlineLevelCol="0"/>
  <cols>
    <col width="5" customWidth="1" style="12" min="1" max="1"/>
    <col width="52" customWidth="1" style="12" min="2" max="2"/>
    <col width="11" customWidth="1" style="12" min="3" max="3"/>
    <col width="50" customWidth="1" style="12" min="4" max="4"/>
    <col width="40" customWidth="1" style="12" min="5" max="5"/>
  </cols>
  <sheetData>
    <row r="1" ht="24" customHeight="1" s="13">
      <c r="A1" s="14" t="inlineStr">
        <is>
          <t>Hard cases you tested</t>
        </is>
      </c>
      <c r="B1" s="15" t="n"/>
      <c r="C1" s="15" t="n"/>
      <c r="D1" s="15" t="n"/>
      <c r="E1" s="15" t="n"/>
    </row>
    <row r="2" ht="31.5" customHeight="1" s="13">
      <c r="A2" s="16" t="inlineStr">
        <is>
          <t>For each situation, say what your system does and link to the test output. We will run 5 hidden tests of these kinds.</t>
        </is>
      </c>
      <c r="B2" s="15" t="n"/>
      <c r="C2" s="15" t="n"/>
      <c r="D2" s="15" t="n"/>
      <c r="E2" s="15" t="n"/>
    </row>
    <row r="4" ht="30" customHeight="1" s="13">
      <c r="A4" s="20" t="inlineStr">
        <is>
          <t>#</t>
        </is>
      </c>
      <c r="B4" s="20" t="inlineStr">
        <is>
          <t>Situation</t>
        </is>
      </c>
      <c r="C4" s="20" t="inlineStr">
        <is>
          <t>Tested?</t>
        </is>
      </c>
      <c r="D4" s="20" t="inlineStr">
        <is>
          <t>What your system does</t>
        </is>
      </c>
      <c r="E4" s="20" t="inlineStr">
        <is>
          <t>Evidence links</t>
        </is>
      </c>
    </row>
    <row r="5" ht="27.75" customHeight="1" s="13">
      <c r="A5" s="18" t="n">
        <v>1</v>
      </c>
      <c r="B5" s="18" t="inlineStr">
        <is>
          <t>A publish call that times out and is retried with the same idempotency key.</t>
        </is>
      </c>
      <c r="C5" s="24" t="inlineStr">
        <is>
          <t>Yes</t>
        </is>
      </c>
      <c r="D5" s="24" t="inlineStr">
        <is>
          <t>Catches network/socket timeout; client retries with identical Idempotency-Key; server detects completed key and returns cached result with X-Cache: IDEMPOTENT-HIT without creating duplicate post.</t>
        </is>
      </c>
      <c r="E5" s="24" t="inlineStr">
        <is>
          <t>tests/unit/test_idempotency.py ; tests/unit/test_backoff.py</t>
        </is>
      </c>
    </row>
    <row r="6" ht="27.75" customHeight="1" s="13">
      <c r="A6" s="18" t="n">
        <v>2</v>
      </c>
      <c r="B6" s="18" t="inlineStr">
        <is>
          <t>A 429 response with a reset time; an expired token; content rejected by the platform.</t>
        </is>
      </c>
      <c r="C6" s="24" t="inlineStr">
        <is>
          <t>Yes</t>
        </is>
      </c>
      <c r="D6" s="24" t="inlineStr">
        <is>
          <t>HTTP 429 parses Retry-After header and executes exponential backoff (max 5 retries); 401 returns CONNECTION_AUTH_EXPIRED; 422 returns PLATFORM_CONTENT_REJECTED without retry.</t>
        </is>
      </c>
      <c r="E6" s="24" t="inlineStr">
        <is>
          <t>tests/unit/test_all_connectors.py ; tests/unit/test_backoff.py</t>
        </is>
      </c>
    </row>
    <row r="7" ht="27.75" customHeight="1" s="13">
      <c r="A7" s="18" t="n">
        <v>3</v>
      </c>
      <c r="B7" s="18" t="inlineStr">
        <is>
          <t>A title or body longer than the destination allows; media the destination does not accept.</t>
        </is>
      </c>
      <c r="C7" s="24" t="inlineStr">
        <is>
          <t>Yes</t>
        </is>
      </c>
      <c r="D7" s="24" t="inlineStr">
        <is>
          <t>Validates rendition against connector YAML format_limits; raises DEST_SPEC_VIOLATION (422) with exact character boundaries for title and body before calling external API.</t>
        </is>
      </c>
      <c r="E7" s="24" t="inlineStr">
        <is>
          <t>tests/unit/test_rules_engine.py ; connectors/manifests/</t>
        </is>
      </c>
    </row>
    <row r="8" ht="42" customHeight="1" s="13">
      <c r="A8" s="18" t="n">
        <v>4</v>
      </c>
      <c r="B8" s="18" t="inlineStr">
        <is>
          <t>A second post inside a destination's frequency cap; a promotional post to a community that bans self-promotion.</t>
        </is>
      </c>
      <c r="C8" s="24" t="inlineStr">
        <is>
          <t>Yes</t>
        </is>
      </c>
      <c r="D8" s="24" t="inlineStr">
        <is>
          <t>Queries SQLite 24h publication history to block if frequency_cap reached (DEST_RULE_FREQUENCY_CAP 429); scans promotional regex triggers to block if self_promo_allowed=False (DEST_SPEC_VIOLATION 422).</t>
        </is>
      </c>
      <c r="E8" s="24" t="inlineStr">
        <is>
          <t>tests/unit/test_rules_engine.py ; app/rules/engine.py</t>
        </is>
      </c>
    </row>
    <row r="9" ht="42" customHeight="1" s="13">
      <c r="A9" s="18" t="n">
        <v>5</v>
      </c>
      <c r="B9" s="18" t="inlineStr">
        <is>
          <t>A platform that renames a field in its API: certification must fail and the destination must be demoted.</t>
        </is>
      </c>
      <c r="C9" s="24" t="inlineStr">
        <is>
          <t>Yes</t>
        </is>
      </c>
      <c r="D9" s="24" t="inlineStr">
        <is>
          <t>Certification probe step 3/4 verifies post status and visibility. If a response field is renamed or missing, probe marks step as failed, skips deletion verification, and updates destination as uncertified.</t>
        </is>
      </c>
      <c r="E9" s="24" t="inlineStr">
        <is>
          <t>tests/integration/test_certification.py ; app/certification/harness.py</t>
        </is>
      </c>
    </row>
    <row r="10" ht="27.75" customHeight="1" s="13">
      <c r="A10" s="18" t="n">
        <v>6</v>
      </c>
      <c r="B10" s="18" t="inlineStr">
        <is>
          <t>A CSV with duplicates, bad URLs and mixed languages; a partner who revokes permission.</t>
        </is>
      </c>
      <c r="C10" s="24" t="inlineStr">
        <is>
          <t>Yes</t>
        </is>
      </c>
      <c r="D10" s="24" t="inlineStr">
        <is>
          <t>URL normaliser strips trailing slashes, default ports, and www prefix. Database query detects duplicate (normalised_url, platform_key) and skips with detailed row-by-row import report.</t>
        </is>
      </c>
      <c r="E10" s="24" t="inlineStr">
        <is>
          <t>tests/integration/test_destinations_api.py ; app/catalogue/csv_importer.py</t>
        </is>
      </c>
    </row>
    <row r="11" ht="27.75" customHeight="1" s="13">
      <c r="A11" s="18" t="n">
        <v>7</v>
      </c>
      <c r="B11" s="18" t="inlineStr">
        <is>
          <t>A non-English community; a destination that requires AI-content disclosure.</t>
        </is>
      </c>
      <c r="C11" s="24" t="inlineStr">
        <is>
          <t>Yes</t>
        </is>
      </c>
      <c r="D11" s="24" t="inlineStr">
        <is>
          <t>Supports language and geo fields in destination catalogue; rejects AI-generated content on disclosure_required destinations if ai_disclosure_text is empty or missing.</t>
        </is>
      </c>
      <c r="E11" s="24" t="inlineStr">
        <is>
          <t>tests/unit/test_rules_engine.py ; app/models/destination.py</t>
        </is>
      </c>
    </row>
  </sheetData>
  <mergeCells count="2">
    <mergeCell ref="A2:E2"/>
    <mergeCell ref="A1:E1"/>
  </mergeCells>
  <dataValidations count="1">
    <dataValidation sqref="C5:C11" showDropDown="0" showInputMessage="0" showErrorMessage="0" allowBlank="1" type="list" errorStyle="stop" operator="between">
      <formula1>"Yes,No"</formula1>
      <formula2>0</formula2>
    </dataValidation>
  </dataValidation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8.xml><?xml version="1.0" encoding="utf-8"?>
<worksheet xmlns="http://schemas.openxmlformats.org/spreadsheetml/2006/main">
  <sheetPr filterMode="0">
    <outlinePr summaryBelow="1" summaryRight="1"/>
    <pageSetUpPr fitToPage="0"/>
  </sheetPr>
  <dimension ref="A1:B13"/>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outlineLevelCol="0"/>
  <cols>
    <col width="80" customWidth="1" style="12" min="1" max="1"/>
    <col width="14" customWidth="1" style="12" min="2" max="2"/>
  </cols>
  <sheetData>
    <row r="1" ht="24" customHeight="1" s="13">
      <c r="A1" s="14" t="inlineStr">
        <is>
          <t>Declaration</t>
        </is>
      </c>
      <c r="B1" s="15" t="n"/>
    </row>
    <row r="2" ht="31.5" customHeight="1" s="13">
      <c r="A2" s="16" t="inlineStr">
        <is>
          <t>Answer every statement. Submissions without a completed declaration are not reviewed.</t>
        </is>
      </c>
      <c r="B2" s="15" t="n"/>
    </row>
    <row r="4" ht="19.5" customHeight="1" s="13">
      <c r="A4" s="18" t="inlineStr">
        <is>
          <t>This is my individual work. I can explain and change any part of it.</t>
        </is>
      </c>
      <c r="B4" s="24" t="inlineStr">
        <is>
          <t>Yes</t>
        </is>
      </c>
    </row>
    <row r="5" ht="19.5" customHeight="1" s="13">
      <c r="A5" s="18" t="inlineStr">
        <is>
          <t>Every claim in this form is true and backed by the evidence I linked.</t>
        </is>
      </c>
      <c r="B5" s="24" t="inlineStr">
        <is>
          <t>Yes</t>
        </is>
      </c>
    </row>
    <row r="6" ht="19.5" customHeight="1" s="13">
      <c r="A6" s="18" t="inlineStr">
        <is>
          <t>All AI tools, models, APIs, libraries, data and media are listed in SOURCES.md and AI_USE.md.</t>
        </is>
      </c>
      <c r="B6" s="24" t="inlineStr">
        <is>
          <t>Yes</t>
        </is>
      </c>
    </row>
    <row r="7" ht="19.5" customHeight="1" s="13">
      <c r="A7" s="18" t="inlineStr">
        <is>
          <t>Everything in my default path, and everything it outputs, is licensed for commercial use.</t>
        </is>
      </c>
      <c r="B7" s="24" t="inlineStr">
        <is>
          <t>Yes</t>
        </is>
      </c>
    </row>
    <row r="8" ht="19.5" customHeight="1" s="13">
      <c r="A8" s="18" t="inlineStr">
        <is>
          <t>No outputs were edited by hand and presented as automated.</t>
        </is>
      </c>
      <c r="B8" s="24" t="inlineStr">
        <is>
          <t>Yes</t>
        </is>
      </c>
    </row>
    <row r="9" ht="19.5" customHeight="1" s="13">
      <c r="A9" s="18" t="inlineStr">
        <is>
          <t>No real person's voice, face or content was used without consent, and no community was spammed.</t>
        </is>
      </c>
      <c r="B9" s="24" t="inlineStr">
        <is>
          <t>Yes</t>
        </is>
      </c>
    </row>
    <row r="10" ht="19.5" customHeight="1" s="13">
      <c r="A10" s="18" t="inlineStr">
        <is>
          <t>No API keys or secrets are in the repository, logs, screenshots or this form.</t>
        </is>
      </c>
      <c r="B10" s="24" t="inlineStr">
        <is>
          <t>Yes</t>
        </is>
      </c>
    </row>
    <row r="11" ht="19.5" customHeight="1" s="13">
      <c r="A11" s="18" t="inlineStr">
        <is>
          <t>My live demo and links will stay available until results are announced.</t>
        </is>
      </c>
      <c r="B11" s="24" t="inlineStr">
        <is>
          <t>Yes</t>
        </is>
      </c>
    </row>
    <row r="12" ht="15" customHeight="1" s="13">
      <c r="A12" s="19" t="inlineStr">
        <is>
          <t>Full name (as signature)</t>
        </is>
      </c>
      <c r="B12" s="24" t="inlineStr">
        <is>
          <t>Bala Murugan</t>
        </is>
      </c>
    </row>
    <row r="13" ht="15" customHeight="1" s="13">
      <c r="A13" s="19" t="inlineStr">
        <is>
          <t>Date</t>
        </is>
      </c>
      <c r="B13" s="24" t="inlineStr">
        <is>
          <t>2026-10-23</t>
        </is>
      </c>
    </row>
  </sheetData>
  <mergeCells count="2">
    <mergeCell ref="A2:B2"/>
    <mergeCell ref="A1:B1"/>
  </mergeCells>
  <dataValidations count="1">
    <dataValidation sqref="B4:B11" showDropDown="0" showInputMessage="0" showErrorMessage="0" allowBlank="1" type="list" errorStyle="stop" operator="between">
      <formula1>"Yes,No"</formula1>
      <formula2>0</formula2>
    </dataValidation>
  </dataValidation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language>en-US</dc:language>
  <dcterms:created xsi:type="dcterms:W3CDTF">2026-10-13T08:20:02Z</dcterms:created>
  <dcterms:modified xsi:type="dcterms:W3CDTF">2026-10-23T13:27:32Z</dcterms:modified>
  <cp:revision>0</cp:revision>
</cp:coreProperties>
</file>